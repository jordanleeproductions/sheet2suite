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DASHBOARD" sheetId="2" r:id="rId6"/>
    <sheet state="visible" name="GUESTS" sheetId="3" r:id="rId7"/>
    <sheet state="visible" name="TABLES" sheetId="4" r:id="rId8"/>
    <sheet state="visible" name="VENDORS" sheetId="5" r:id="rId9"/>
    <sheet state="visible" name="BUDGET" sheetId="6" r:id="rId10"/>
    <sheet state="visible" name="SCHEDULE" sheetId="7" r:id="rId11"/>
    <sheet state="visible" name="MUSIC" sheetId="8" r:id="rId12"/>
    <sheet state="visible" name="PHOTOS" sheetId="9" r:id="rId13"/>
    <sheet state="visible" name="TO DO" sheetId="10" r:id="rId14"/>
    <sheet state="visible" name="GIFT REGISTRY" sheetId="11" r:id="rId15"/>
    <sheet state="visible" name="DECOR INVENTORY" sheetId="12" r:id="rId16"/>
    <sheet state="visible" name="Calc_Data" sheetId="13" r:id="rId17"/>
    <sheet state="visible" name="Settings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Only applicable for Rectangle &amp; Square tables</t>
      </text>
    </comment>
  </commentList>
</comments>
</file>

<file path=xl/sharedStrings.xml><?xml version="1.0" encoding="utf-8"?>
<sst xmlns="http://schemas.openxmlformats.org/spreadsheetml/2006/main" count="222" uniqueCount="183">
  <si>
    <t>Getting Started Guide</t>
  </si>
  <si>
    <t>Welcome to your Wedding Planner Template. This spreadsheet is designed to help you organize every aspect of your wedding.</t>
  </si>
  <si>
    <t>Tab Name</t>
  </si>
  <si>
    <t>Table Name</t>
  </si>
  <si>
    <t>Purpose</t>
  </si>
  <si>
    <t>VENDORS</t>
  </si>
  <si>
    <t>Vendors</t>
  </si>
  <si>
    <t>Track vendor contact info, contracts, and payments.</t>
  </si>
  <si>
    <t>PHOTOS</t>
  </si>
  <si>
    <t>Photography Shot List</t>
  </si>
  <si>
    <t>Organize the shot order, times, and locations for your photographer.</t>
  </si>
  <si>
    <t>BUDGET</t>
  </si>
  <si>
    <t>Budget Ledger</t>
  </si>
  <si>
    <t>Manage your estimated vs actual costs and track payments.</t>
  </si>
  <si>
    <t>GUESTS</t>
  </si>
  <si>
    <t>GuestList</t>
  </si>
  <si>
    <t>Keep track of guest details, RSVPs, dietary restrictions, and table assignments.</t>
  </si>
  <si>
    <t>Calc_Data</t>
  </si>
  <si>
    <t>N/A</t>
  </si>
  <si>
    <t>Background calculations and metrics for the dashboard.</t>
  </si>
  <si>
    <t>TO DO</t>
  </si>
  <si>
    <t>To Do List</t>
  </si>
  <si>
    <t>Manage tasks, priorities, and deadlines.</t>
  </si>
  <si>
    <t>SCHEDULE</t>
  </si>
  <si>
    <t>Day of Schedule</t>
  </si>
  <si>
    <t>Plan the timeline for the wedding day events.</t>
  </si>
  <si>
    <t>MUSIC</t>
  </si>
  <si>
    <t>Music</t>
  </si>
  <si>
    <t>Organize song requests, must-plays, and do-not-plays for different event moments.</t>
  </si>
  <si>
    <t>DASHBOARD</t>
  </si>
  <si>
    <t>View high-level insights and metrics for your wedding planning.</t>
  </si>
  <si>
    <t>Table ID</t>
  </si>
  <si>
    <t>Guest ID</t>
  </si>
  <si>
    <t>First Name</t>
  </si>
  <si>
    <t>Shape</t>
  </si>
  <si>
    <t>Last Name</t>
  </si>
  <si>
    <t>Capacity</t>
  </si>
  <si>
    <t>Party Group</t>
  </si>
  <si>
    <t>Include End Seats</t>
  </si>
  <si>
    <t>Age Category</t>
  </si>
  <si>
    <t>RSVP Status</t>
  </si>
  <si>
    <t>One Sided</t>
  </si>
  <si>
    <t>Sort Order</t>
  </si>
  <si>
    <t>Dietary Restrictions</t>
  </si>
  <si>
    <t>Table Assignment</t>
  </si>
  <si>
    <t>Notes</t>
  </si>
  <si>
    <t>Email</t>
  </si>
  <si>
    <t>Phone Number</t>
  </si>
  <si>
    <t>Mailing Address</t>
  </si>
  <si>
    <t>Vendor ID</t>
  </si>
  <si>
    <t>Vendor Name</t>
  </si>
  <si>
    <t>Category</t>
  </si>
  <si>
    <t>Contact Name</t>
  </si>
  <si>
    <t>Email Address</t>
  </si>
  <si>
    <t>Total Contract Value</t>
  </si>
  <si>
    <t>Deposit Paid</t>
  </si>
  <si>
    <t>Balance Owing</t>
  </si>
  <si>
    <t>Payment Due</t>
  </si>
  <si>
    <t>Staff Meals Required</t>
  </si>
  <si>
    <t>Item ID</t>
  </si>
  <si>
    <t>Estimated Cost</t>
  </si>
  <si>
    <t>Actual Cost</t>
  </si>
  <si>
    <t>Amount Paid</t>
  </si>
  <si>
    <t>Due Date</t>
  </si>
  <si>
    <t>Payment Status</t>
  </si>
  <si>
    <t>Lo3</t>
  </si>
  <si>
    <t>Start Time</t>
  </si>
  <si>
    <t>End Time</t>
  </si>
  <si>
    <t>Event Moment</t>
  </si>
  <si>
    <t>Location</t>
  </si>
  <si>
    <t>Responsibility / Vendors</t>
  </si>
  <si>
    <t>Notes / Details</t>
  </si>
  <si>
    <t>Song ID</t>
  </si>
  <si>
    <t>Song Title</t>
  </si>
  <si>
    <t>Artist</t>
  </si>
  <si>
    <t>Occasion</t>
  </si>
  <si>
    <t>Play Status</t>
  </si>
  <si>
    <t>Requested By</t>
  </si>
  <si>
    <t>Approval Status</t>
  </si>
  <si>
    <t>Shot Order</t>
  </si>
  <si>
    <t>Shot Time</t>
  </si>
  <si>
    <t>Description or People</t>
  </si>
  <si>
    <t>Priority</t>
  </si>
  <si>
    <t>Task ID</t>
  </si>
  <si>
    <t>Task Name</t>
  </si>
  <si>
    <t>Status</t>
  </si>
  <si>
    <t>Assigned To</t>
  </si>
  <si>
    <t>Notes / Links</t>
  </si>
  <si>
    <t>Gift ID</t>
  </si>
  <si>
    <t>Guest / Party Name</t>
  </si>
  <si>
    <t>Gift Description</t>
  </si>
  <si>
    <t>Gift Type</t>
  </si>
  <si>
    <t>Amount</t>
  </si>
  <si>
    <t>Received Date</t>
  </si>
  <si>
    <t>Thank You Sent</t>
  </si>
  <si>
    <t>Sent Date</t>
  </si>
  <si>
    <t>Item Name</t>
  </si>
  <si>
    <t>Owner / Brought By</t>
  </si>
  <si>
    <t>Packed</t>
  </si>
  <si>
    <t>Return Home Required</t>
  </si>
  <si>
    <t>Cleanup Person</t>
  </si>
  <si>
    <t>Metric Category</t>
  </si>
  <si>
    <t>Metric Name</t>
  </si>
  <si>
    <t>Value</t>
  </si>
  <si>
    <t>Guests</t>
  </si>
  <si>
    <t>Total Invited</t>
  </si>
  <si>
    <t>Accepted</t>
  </si>
  <si>
    <t>Declined</t>
  </si>
  <si>
    <t>Guest Age Category</t>
  </si>
  <si>
    <t>Table Shapes</t>
  </si>
  <si>
    <t>Priority Levels</t>
  </si>
  <si>
    <t>Pending</t>
  </si>
  <si>
    <t>Task Status</t>
  </si>
  <si>
    <t>Decor Categories</t>
  </si>
  <si>
    <t>Vendor Categories</t>
  </si>
  <si>
    <t>Budget Categories</t>
  </si>
  <si>
    <t>To Do Categories</t>
  </si>
  <si>
    <t>Gift Types</t>
  </si>
  <si>
    <t>Budget</t>
  </si>
  <si>
    <t>Adult</t>
  </si>
  <si>
    <t>Estimated</t>
  </si>
  <si>
    <t>Round</t>
  </si>
  <si>
    <t>High</t>
  </si>
  <si>
    <t>Attending</t>
  </si>
  <si>
    <t>Paid</t>
  </si>
  <si>
    <t>Not Started</t>
  </si>
  <si>
    <t>Centerpieces</t>
  </si>
  <si>
    <t>Venue</t>
  </si>
  <si>
    <t>Planning</t>
  </si>
  <si>
    <t>Physical Item</t>
  </si>
  <si>
    <t>Approved</t>
  </si>
  <si>
    <t>Must Play</t>
  </si>
  <si>
    <t>Youth</t>
  </si>
  <si>
    <t>Square</t>
  </si>
  <si>
    <t>Medium</t>
  </si>
  <si>
    <t>Actual</t>
  </si>
  <si>
    <t>In Progress</t>
  </si>
  <si>
    <t>Lighting</t>
  </si>
  <si>
    <t>Catering</t>
  </si>
  <si>
    <t>Food &amp; Beverage</t>
  </si>
  <si>
    <t>Booking</t>
  </si>
  <si>
    <t>Cash</t>
  </si>
  <si>
    <t>Pending Approval</t>
  </si>
  <si>
    <t>Play If Time</t>
  </si>
  <si>
    <t>Child</t>
  </si>
  <si>
    <t>Rectangle</t>
  </si>
  <si>
    <t>Low</t>
  </si>
  <si>
    <t>Completed</t>
  </si>
  <si>
    <t>Signage</t>
  </si>
  <si>
    <t>Photography</t>
  </si>
  <si>
    <t>Attire &amp; Beauty</t>
  </si>
  <si>
    <t>Decor</t>
  </si>
  <si>
    <t>Gift Card</t>
  </si>
  <si>
    <t>Banned</t>
  </si>
  <si>
    <t>Tasks</t>
  </si>
  <si>
    <t>Total Tasks</t>
  </si>
  <si>
    <t>Infant</t>
  </si>
  <si>
    <t>Linens</t>
  </si>
  <si>
    <t>Videography</t>
  </si>
  <si>
    <t>Photography/Videography</t>
  </si>
  <si>
    <t>Attire</t>
  </si>
  <si>
    <t>Honeymoon Fund</t>
  </si>
  <si>
    <t>Song Request</t>
  </si>
  <si>
    <t>Florals</t>
  </si>
  <si>
    <t>Florist</t>
  </si>
  <si>
    <t>Flowers</t>
  </si>
  <si>
    <t>To Do</t>
  </si>
  <si>
    <t>Other</t>
  </si>
  <si>
    <t>Tableware</t>
  </si>
  <si>
    <t>Music/DJ</t>
  </si>
  <si>
    <t>Music/Entertainment</t>
  </si>
  <si>
    <t>Day-Of</t>
  </si>
  <si>
    <t>Miscellaneous</t>
  </si>
  <si>
    <t>Stationary/Favors</t>
  </si>
  <si>
    <t>Post-Wedding</t>
  </si>
  <si>
    <t>Planner</t>
  </si>
  <si>
    <t>Rings</t>
  </si>
  <si>
    <t>Officiant</t>
  </si>
  <si>
    <t>Transportation</t>
  </si>
  <si>
    <t>Hair/Makeup</t>
  </si>
  <si>
    <t>Legal &amp; Licenses</t>
  </si>
  <si>
    <t>Decorations</t>
  </si>
  <si>
    <t>Wedding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</si>
</sst>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"/>
    <numFmt numFmtId="166" formatCode="h:mm:ss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24.0"/>
      <color rgb="FF4E6629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CCCCCC"/>
        <bgColor rgb="FFCCCCCC"/>
      </patternFill>
    </fill>
    <fill>
      <patternFill patternType="solid">
        <fgColor rgb="FFF9F9ED"/>
        <bgColor rgb="FFF9F9ED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Font="1"/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3" fontId="2" numFmtId="0" xfId="0" applyAlignment="1" applyFill="1" applyFont="1">
      <alignment readingOrder="0"/>
    </xf>
    <xf borderId="0" fillId="0" fontId="1" numFmtId="0" xfId="0" applyFont="1"/>
    <xf borderId="0" fillId="4" fontId="1" numFmtId="0" xfId="0" applyFill="1" applyFont="1"/>
    <xf borderId="0" fillId="4" fontId="4" numFmtId="0" xfId="0" applyAlignment="1" applyFont="1">
      <alignment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884A8B"/>
          <bgColor rgb="FF884A8B"/>
        </patternFill>
      </fill>
      <border/>
    </dxf>
    <dxf>
      <border>
        <left style="thin">
          <color rgb="FF884A8B"/>
        </left>
        <right style="thin">
          <color rgb="FF884A8B"/>
        </right>
        <top style="thin">
          <color rgb="FF884A8B"/>
        </top>
        <bottom style="thin">
          <color rgb="FF884A8B"/>
        </bottom>
      </border>
    </dxf>
    <dxf>
      <font/>
      <fill>
        <patternFill patternType="solid">
          <fgColor rgb="FFAF8502"/>
          <bgColor rgb="FFAF8502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007E76"/>
          <bgColor rgb="FF007E76"/>
        </patternFill>
      </fill>
      <border/>
    </dxf>
    <dxf>
      <font/>
      <fill>
        <patternFill patternType="solid">
          <fgColor rgb="FF804D91"/>
          <bgColor rgb="FF804D91"/>
        </patternFill>
      </fill>
      <border/>
    </dxf>
    <dxf>
      <font/>
      <fill>
        <patternFill patternType="solid">
          <fgColor rgb="FF01628E"/>
          <bgColor rgb="FF01628E"/>
        </patternFill>
      </fill>
      <border/>
    </dxf>
  </dxfs>
  <tableStyles count="10">
    <tableStyle count="4" pivot="0" name="TABL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GUESTS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VENDORS-style">
      <tableStyleElement dxfId="6" type="headerRow"/>
      <tableStyleElement dxfId="3" type="firstRowStripe"/>
      <tableStyleElement dxfId="4" type="secondRowStripe"/>
      <tableStyleElement dxfId="7" size="0" type="wholeTable"/>
    </tableStyle>
    <tableStyle count="4" pivot="0" name="BUDGET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CHEDULE-style">
      <tableStyleElement dxfId="8" type="headerRow"/>
      <tableStyleElement dxfId="3" type="firstRowStripe"/>
      <tableStyleElement dxfId="4" type="secondRowStripe"/>
      <tableStyleElement dxfId="5" size="0" type="wholeTable"/>
    </tableStyle>
    <tableStyle count="4" pivot="0" name="MUSIC-style">
      <tableStyleElement dxfId="9" type="headerRow"/>
      <tableStyleElement dxfId="3" type="firstRowStripe"/>
      <tableStyleElement dxfId="4" type="secondRowStripe"/>
      <tableStyleElement dxfId="5" size="0" type="wholeTable"/>
    </tableStyle>
    <tableStyle count="4" pivot="0" name="PHOTOS-style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TO DO-style">
      <tableStyleElement dxfId="11" type="headerRow"/>
      <tableStyleElement dxfId="3" type="firstRowStripe"/>
      <tableStyleElement dxfId="4" type="secondRowStripe"/>
      <tableStyleElement dxfId="7" size="0" type="wholeTable"/>
    </tableStyle>
    <tableStyle count="4" pivot="0" name="GIFT REGISTRY-style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DECOR INVENTORY-style">
      <tableStyleElement dxfId="13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Guest RSVP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Calc_Data!$B$3:$B$5</c:f>
            </c:strRef>
          </c:cat>
          <c:val>
            <c:numRef>
              <c:f>Calc_Data!$C$3:$C$5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E6629"/>
            </a:solidFill>
            <a:ln cmpd="sng">
              <a:noFill/>
            </a:ln>
          </c:spPr>
          <c:cat>
            <c:strRef>
              <c:f>Calc_Data!$B$6:$B$7</c:f>
            </c:strRef>
          </c:cat>
          <c:val>
            <c:numRef>
              <c:f>Calc_Data!$C$6:$C$7</c:f>
              <c:numCache/>
            </c:numRef>
          </c:val>
        </c:ser>
        <c:axId val="417916157"/>
        <c:axId val="2138979359"/>
      </c:barChart>
      <c:catAx>
        <c:axId val="417916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Budget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979359"/>
      </c:catAx>
      <c:valAx>
        <c:axId val="2138979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916157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1" Type="http://schemas.openxmlformats.org/officeDocument/2006/relationships/chart" Target="../charts/chart1.xml"/><Relationship Id="rId10" Type="http://schemas.openxmlformats.org/officeDocument/2006/relationships/image" Target="../media/Chart10.png"/><Relationship Id="rId12" Type="http://schemas.openxmlformats.org/officeDocument/2006/relationships/chart" Target="../charts/chart2.xml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667000" cy="952500"/>
    <xdr:pic>
      <xdr:nvPicPr>
        <xdr:cNvPr id="1385910257" name="Chart1" title="Total Invite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667000" cy="952500"/>
    <xdr:pic>
      <xdr:nvPicPr>
        <xdr:cNvPr id="808389996" name="Chart2" title="Accepte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667000" cy="952500"/>
    <xdr:pic>
      <xdr:nvPicPr>
        <xdr:cNvPr id="629407789" name="Chart3" title="Decline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667000" cy="952500"/>
    <xdr:pic>
      <xdr:nvPicPr>
        <xdr:cNvPr id="974649823" name="Chart4" title="Pending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619500" cy="952500"/>
    <xdr:pic>
      <xdr:nvPicPr>
        <xdr:cNvPr id="1760436828" name="Chart5" title="Total Estimated Budge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3619500" cy="952500"/>
    <xdr:pic>
      <xdr:nvPicPr>
        <xdr:cNvPr id="290173295" name="Chart6" title="Actual Budge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3619500" cy="952500"/>
    <xdr:pic>
      <xdr:nvPicPr>
        <xdr:cNvPr id="260253666" name="Chart7" title="Amount Pai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3619500" cy="952500"/>
    <xdr:pic>
      <xdr:nvPicPr>
        <xdr:cNvPr id="263987626" name="Chart8" title="Tasks: To D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619500" cy="952500"/>
    <xdr:pic>
      <xdr:nvPicPr>
        <xdr:cNvPr id="1953016663" name="Chart9" title="Tasks: In Progres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3619500" cy="952500"/>
    <xdr:pic>
      <xdr:nvPicPr>
        <xdr:cNvPr id="1112959004" name="Chart10" title="Tasks: Complete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0" cy="3333750"/>
    <xdr:graphicFrame>
      <xdr:nvGraphicFramePr>
        <xdr:cNvPr id="11" name="Chart 11" title="Guest RSVP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7</xdr:col>
      <xdr:colOff>0</xdr:colOff>
      <xdr:row>9</xdr:row>
      <xdr:rowOff>0</xdr:rowOff>
    </xdr:from>
    <xdr:ext cx="5524500" cy="3333750"/>
    <xdr:graphicFrame>
      <xdr:nvGraphicFramePr>
        <xdr:cNvPr id="12" name="Chart 12" title="Estimated vs Actual Budge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" displayName="GuestList" name="GuestList" id="1">
  <tableColumns count="11">
    <tableColumn name="Guest ID" id="1"/>
    <tableColumn name="First Name" id="2"/>
    <tableColumn name="Last Name" id="3"/>
    <tableColumn name="Party Group" id="4"/>
    <tableColumn name="Age Category" id="5"/>
    <tableColumn name="RSVP Status" id="6"/>
    <tableColumn name="Dietary Restrictions" id="7"/>
    <tableColumn name="Table Assignment" id="8"/>
    <tableColumn name="Email" id="9"/>
    <tableColumn name="Phone Number" id="10"/>
    <tableColumn name="Mailing Address" id="11"/>
  </tableColumns>
  <tableStyleInfo name="GUESTS-style" showColumnStripes="0" showFirstColumn="1" showLastColumn="1" showRowStripes="1"/>
</table>
</file>

<file path=xl/tables/table2.xml><?xml version="1.0" encoding="utf-8"?>
<table xmlns="http://schemas.openxmlformats.org/spreadsheetml/2006/main" ref="A1:H14" displayName="Table_Seating" name="Table_Seating" id="2">
  <tableColumns count="8">
    <tableColumn name="Table ID" id="1"/>
    <tableColumn name="Table Name" id="2"/>
    <tableColumn name="Shape" id="3"/>
    <tableColumn name="Capacity" id="4"/>
    <tableColumn name="Include End Seats" id="5"/>
    <tableColumn name="One Sided" id="6"/>
    <tableColumn name="Sort Order" id="7"/>
    <tableColumn name="Notes" id="8"/>
  </tableColumns>
  <tableStyleInfo name="TABLES-style" showColumnStripes="0" showFirstColumn="1" showLastColumn="1" showRowStripes="1"/>
</table>
</file>

<file path=xl/tables/table3.xml><?xml version="1.0" encoding="utf-8"?>
<table xmlns="http://schemas.openxmlformats.org/spreadsheetml/2006/main" ref="A1:K8" displayName="Vendors" name="Vendors" id="3">
  <tableColumns count="11">
    <tableColumn name="Vendor ID" id="1"/>
    <tableColumn name="Vendor Name" id="2"/>
    <tableColumn name="Category" id="3"/>
    <tableColumn name="Contact Name" id="4"/>
    <tableColumn name="Email Address" id="5"/>
    <tableColumn name="Phone Number" id="6"/>
    <tableColumn name="Total Contract Value" id="7"/>
    <tableColumn name="Deposit Paid" id="8"/>
    <tableColumn name="Balance Owing" id="9"/>
    <tableColumn name="Payment Due" id="10"/>
    <tableColumn name="Staff Meals Required" id="11"/>
  </tableColumns>
  <tableStyleInfo name="VENDORS-style" showColumnStripes="0" showFirstColumn="1" showLastColumn="1" showRowStripes="1"/>
</table>
</file>

<file path=xl/tables/table4.xml><?xml version="1.0" encoding="utf-8"?>
<table xmlns="http://schemas.openxmlformats.org/spreadsheetml/2006/main" ref="A1:H8" displayName="Budget_Ledger" name="Budget_Ledger" id="4">
  <tableColumns count="8">
    <tableColumn name="Item ID" id="1"/>
    <tableColumn name="Category" id="2"/>
    <tableColumn name="Vendor Name" id="3"/>
    <tableColumn name="Estimated Cost" id="4"/>
    <tableColumn name="Actual Cost" id="5"/>
    <tableColumn name="Amount Paid" id="6"/>
    <tableColumn name="Due Date" id="7"/>
    <tableColumn name="Payment Status" id="8"/>
  </tableColumns>
  <tableStyleInfo name="BUDGET-style" showColumnStripes="0" showFirstColumn="1" showLastColumn="1" showRowStripes="1"/>
</table>
</file>

<file path=xl/tables/table5.xml><?xml version="1.0" encoding="utf-8"?>
<table xmlns="http://schemas.openxmlformats.org/spreadsheetml/2006/main" ref="A1:F8" displayName="Day_of_Schedule" name="Day_of_Schedule" id="5">
  <tableColumns count="6">
    <tableColumn name="Start Time" id="1"/>
    <tableColumn name="End Time" id="2"/>
    <tableColumn name="Event Moment" id="3"/>
    <tableColumn name="Location" id="4"/>
    <tableColumn name="Responsibility / Vendors" id="5"/>
    <tableColumn name="Notes / Details" id="6"/>
  </tableColumns>
  <tableStyleInfo name="SCHEDULE-style" showColumnStripes="0" showFirstColumn="1" showLastColumn="1" showRowStripes="1"/>
</table>
</file>

<file path=xl/tables/table6.xml><?xml version="1.0" encoding="utf-8"?>
<table xmlns="http://schemas.openxmlformats.org/spreadsheetml/2006/main" ref="A1:H8" displayName="Music" name="Music" id="6">
  <tableColumns count="8">
    <tableColumn name="Song ID" id="1"/>
    <tableColumn name="Song Title" id="2"/>
    <tableColumn name="Artist" id="3"/>
    <tableColumn name="Occasion" id="4"/>
    <tableColumn name="Play Status" id="5"/>
    <tableColumn name="Requested By" id="6"/>
    <tableColumn name="Notes" id="7"/>
    <tableColumn name="Approval Status" id="8"/>
  </tableColumns>
  <tableStyleInfo name="MUSIC-style" showColumnStripes="0" showFirstColumn="1" showLastColumn="1" showRowStripes="1"/>
</table>
</file>

<file path=xl/tables/table7.xml><?xml version="1.0" encoding="utf-8"?>
<table xmlns="http://schemas.openxmlformats.org/spreadsheetml/2006/main" ref="A1:E8" displayName="Photography_Shot_List" name="Photography_Shot_List" id="7">
  <tableColumns count="5">
    <tableColumn name="Shot Order" id="1"/>
    <tableColumn name="Shot Time" id="2"/>
    <tableColumn name="Description or People" id="3"/>
    <tableColumn name="Location" id="4"/>
    <tableColumn name="Priority" id="5"/>
  </tableColumns>
  <tableStyleInfo name="PHOTOS-style" showColumnStripes="0" showFirstColumn="1" showLastColumn="1" showRowStripes="1"/>
</table>
</file>

<file path=xl/tables/table8.xml><?xml version="1.0" encoding="utf-8"?>
<table xmlns="http://schemas.openxmlformats.org/spreadsheetml/2006/main" ref="A1:H8" displayName="To_Do_List" name="To_Do_List" id="8">
  <tableColumns count="8">
    <tableColumn name="Task ID" id="1"/>
    <tableColumn name="Task Name" id="2"/>
    <tableColumn name="Status" id="3"/>
    <tableColumn name="Category" id="4"/>
    <tableColumn name="Priority" id="5"/>
    <tableColumn name="Assigned To" id="6"/>
    <tableColumn name="Due Date" id="7"/>
    <tableColumn name="Notes / Links" id="8"/>
  </tableColumns>
  <tableStyleInfo name="TO DO-style" showColumnStripes="0" showFirstColumn="1" showLastColumn="1" showRowStripes="1"/>
</table>
</file>

<file path=xl/tables/table9.xml><?xml version="1.0" encoding="utf-8"?>
<table xmlns="http://schemas.openxmlformats.org/spreadsheetml/2006/main" ref="A1:I8" displayName="Gift_Registry" name="Gift_Registry" id="9">
  <tableColumns count="9">
    <tableColumn name="Gift ID" id="1"/>
    <tableColumn name="Guest / Party Name" id="2"/>
    <tableColumn name="Gift Description" id="3"/>
    <tableColumn name="Gift Type" id="4"/>
    <tableColumn name="Amount" id="5"/>
    <tableColumn name="Received Date" id="6"/>
    <tableColumn name="Thank You Sent" id="7"/>
    <tableColumn name="Sent Date" id="8"/>
    <tableColumn name="Notes" id="9"/>
  </tableColumns>
  <tableStyleInfo name="GIFT REGISTRY-style" showColumnStripes="0" showFirstColumn="1" showLastColumn="1" showRowStripes="1"/>
</table>
</file>

<file path=xl/tables/table10.xml><?xml version="1.0" encoding="utf-8"?>
<table xmlns="http://schemas.openxmlformats.org/spreadsheetml/2006/main" ref="A1:G8" displayName="Decor_Inventory" name="Decor_Inventory" id="10">
  <tableColumns count="7">
    <tableColumn name="Item ID" id="1"/>
    <tableColumn name="Item Name" id="2"/>
    <tableColumn name="Category" id="3"/>
    <tableColumn name="Owner / Brought By" id="4"/>
    <tableColumn name="Packed" id="5"/>
    <tableColumn name="Return Home Required" id="6"/>
    <tableColumn name="Cleanup Person" id="7"/>
  </tableColumns>
  <tableStyleInfo name="DECOR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1.25"/>
    <col customWidth="1" min="2" max="2" width="16.88"/>
    <col customWidth="1" min="3" max="3" width="60.38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1" t="s">
        <v>5</v>
      </c>
      <c r="B5" s="1" t="s">
        <v>6</v>
      </c>
      <c r="C5" s="1" t="s">
        <v>7</v>
      </c>
    </row>
    <row r="6">
      <c r="A6" s="1" t="s">
        <v>8</v>
      </c>
      <c r="B6" s="1" t="s">
        <v>9</v>
      </c>
      <c r="C6" s="1" t="s">
        <v>10</v>
      </c>
    </row>
    <row r="7">
      <c r="A7" s="1" t="s">
        <v>11</v>
      </c>
      <c r="B7" s="1" t="s">
        <v>12</v>
      </c>
      <c r="C7" s="1" t="s">
        <v>13</v>
      </c>
    </row>
    <row r="8">
      <c r="A8" s="1" t="s">
        <v>14</v>
      </c>
      <c r="B8" s="1" t="s">
        <v>15</v>
      </c>
      <c r="C8" s="1" t="s">
        <v>16</v>
      </c>
    </row>
    <row r="9">
      <c r="A9" s="1" t="s">
        <v>17</v>
      </c>
      <c r="B9" s="1" t="s">
        <v>18</v>
      </c>
      <c r="C9" s="1" t="s">
        <v>19</v>
      </c>
    </row>
    <row r="10">
      <c r="A10" s="1" t="s">
        <v>20</v>
      </c>
      <c r="B10" s="1" t="s">
        <v>21</v>
      </c>
      <c r="C10" s="1" t="s">
        <v>22</v>
      </c>
    </row>
    <row r="11">
      <c r="A11" s="1" t="s">
        <v>23</v>
      </c>
      <c r="B11" s="1" t="s">
        <v>24</v>
      </c>
      <c r="C11" s="1" t="s">
        <v>25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18</v>
      </c>
      <c r="C13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13" width="12.63"/>
    <col customWidth="1" min="14" max="14" width="2.63"/>
  </cols>
  <sheetData>
    <row r="1" ht="15.0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45.0" customHeight="1">
      <c r="A2" s="34"/>
      <c r="B2" s="35" t="s">
        <v>182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0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75.0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0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75.0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0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75.0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0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62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">
    <mergeCell ref="B2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3" width="22.88"/>
    <col customWidth="1" min="4" max="5" width="21.13"/>
    <col customWidth="1" min="6" max="6" width="27.63"/>
    <col customWidth="1" min="7" max="7" width="23.75"/>
    <col customWidth="1" min="8" max="8" width="25.13"/>
    <col customWidth="1" min="9" max="9" width="22.63"/>
    <col customWidth="1" min="10" max="10" width="27.38"/>
    <col customWidth="1" min="11" max="11" width="23.63"/>
  </cols>
  <sheetData>
    <row r="1" ht="22.5" customHeight="1">
      <c r="A1" s="3" t="s">
        <v>32</v>
      </c>
      <c r="B1" s="3" t="s">
        <v>33</v>
      </c>
      <c r="C1" s="3" t="s">
        <v>35</v>
      </c>
      <c r="D1" s="3" t="s">
        <v>37</v>
      </c>
      <c r="E1" s="3" t="s">
        <v>39</v>
      </c>
      <c r="F1" s="3" t="s">
        <v>40</v>
      </c>
      <c r="G1" s="3" t="s">
        <v>43</v>
      </c>
      <c r="H1" s="3" t="s">
        <v>44</v>
      </c>
      <c r="I1" s="5" t="s">
        <v>46</v>
      </c>
      <c r="J1" s="5" t="s">
        <v>47</v>
      </c>
      <c r="K1" s="5" t="s">
        <v>48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22.5" customHeight="1">
      <c r="A2" s="6"/>
      <c r="B2" s="6"/>
      <c r="C2" s="6"/>
      <c r="D2" s="6"/>
      <c r="E2" s="7"/>
      <c r="F2" s="12"/>
      <c r="G2" s="6"/>
      <c r="H2" s="6"/>
      <c r="I2" s="6"/>
      <c r="J2" s="6"/>
      <c r="K2" s="6"/>
    </row>
    <row r="3" ht="22.5" customHeight="1">
      <c r="A3" s="6"/>
      <c r="B3" s="6"/>
      <c r="C3" s="6"/>
      <c r="D3" s="6"/>
      <c r="E3" s="7"/>
      <c r="F3" s="7"/>
      <c r="G3" s="6"/>
      <c r="H3" s="6"/>
      <c r="I3" s="6"/>
      <c r="J3" s="6"/>
      <c r="K3" s="6"/>
    </row>
    <row r="4" ht="22.5" customHeight="1">
      <c r="A4" s="6"/>
      <c r="B4" s="6"/>
      <c r="C4" s="6"/>
      <c r="D4" s="6"/>
      <c r="E4" s="7"/>
      <c r="F4" s="7"/>
      <c r="G4" s="13"/>
      <c r="H4" s="6"/>
      <c r="I4" s="6"/>
      <c r="J4" s="6"/>
      <c r="K4" s="6"/>
    </row>
    <row r="5" ht="22.5" customHeight="1">
      <c r="A5" s="6"/>
      <c r="B5" s="6"/>
      <c r="C5" s="6"/>
      <c r="D5" s="6"/>
      <c r="E5" s="7"/>
      <c r="F5" s="7"/>
      <c r="G5" s="6"/>
      <c r="H5" s="6"/>
      <c r="I5" s="6"/>
      <c r="J5" s="6"/>
      <c r="K5" s="6"/>
    </row>
    <row r="6" ht="22.5" customHeight="1">
      <c r="A6" s="6"/>
      <c r="B6" s="6"/>
      <c r="C6" s="6"/>
      <c r="D6" s="6"/>
      <c r="E6" s="7"/>
      <c r="F6" s="7"/>
      <c r="G6" s="6"/>
      <c r="H6" s="6"/>
      <c r="I6" s="6"/>
      <c r="J6" s="6"/>
      <c r="K6" s="6"/>
    </row>
    <row r="7" ht="22.5" customHeight="1">
      <c r="A7" s="6"/>
      <c r="B7" s="6"/>
      <c r="C7" s="6"/>
      <c r="D7" s="6"/>
      <c r="E7" s="7"/>
      <c r="F7" s="7"/>
      <c r="G7" s="6"/>
      <c r="H7" s="6"/>
      <c r="I7" s="6"/>
      <c r="J7" s="6"/>
      <c r="K7" s="6"/>
    </row>
    <row r="8" ht="22.5" customHeight="1">
      <c r="A8" s="6"/>
      <c r="B8" s="6"/>
      <c r="C8" s="6"/>
      <c r="D8" s="6"/>
      <c r="E8" s="7"/>
      <c r="F8" s="7"/>
      <c r="G8" s="6"/>
      <c r="H8" s="6"/>
      <c r="I8" s="6"/>
      <c r="J8" s="6"/>
      <c r="K8" s="6"/>
    </row>
    <row r="9" ht="22.5" customHeight="1">
      <c r="A9" s="6"/>
      <c r="B9" s="6"/>
      <c r="C9" s="6"/>
      <c r="D9" s="6"/>
      <c r="E9" s="7"/>
      <c r="F9" s="7"/>
      <c r="G9" s="6"/>
      <c r="H9" s="6"/>
      <c r="I9" s="6"/>
      <c r="J9" s="6"/>
      <c r="K9" s="6"/>
    </row>
    <row r="10" ht="22.5" customHeight="1">
      <c r="A10" s="6"/>
      <c r="B10" s="6"/>
      <c r="C10" s="6"/>
      <c r="D10" s="6"/>
      <c r="E10" s="7"/>
      <c r="F10" s="7"/>
      <c r="G10" s="6"/>
      <c r="H10" s="6"/>
      <c r="I10" s="6"/>
      <c r="J10" s="6"/>
      <c r="K10" s="6"/>
    </row>
    <row r="11" ht="22.5" customHeight="1">
      <c r="A11" s="6"/>
      <c r="B11" s="6"/>
      <c r="C11" s="6"/>
      <c r="D11" s="6"/>
      <c r="E11" s="7"/>
      <c r="F11" s="7"/>
      <c r="G11" s="6"/>
      <c r="H11" s="6"/>
      <c r="I11" s="6"/>
      <c r="J11" s="6"/>
      <c r="K11" s="6"/>
    </row>
    <row r="12" ht="22.5" customHeight="1">
      <c r="A12" s="6"/>
      <c r="B12" s="6"/>
      <c r="C12" s="6"/>
      <c r="D12" s="6"/>
      <c r="E12" s="7"/>
      <c r="F12" s="7"/>
      <c r="G12" s="6"/>
      <c r="H12" s="6"/>
      <c r="I12" s="6"/>
      <c r="J12" s="6"/>
      <c r="K12" s="6"/>
    </row>
    <row r="13" ht="22.5" customHeight="1">
      <c r="A13" s="6"/>
      <c r="B13" s="6"/>
      <c r="C13" s="6"/>
      <c r="D13" s="6"/>
      <c r="E13" s="7"/>
      <c r="F13" s="7"/>
      <c r="G13" s="6"/>
      <c r="H13" s="6"/>
      <c r="I13" s="6"/>
      <c r="J13" s="6"/>
      <c r="K13" s="6"/>
    </row>
    <row r="14" ht="22.5" customHeight="1">
      <c r="A14" s="6"/>
      <c r="B14" s="6"/>
      <c r="C14" s="6"/>
      <c r="D14" s="6"/>
      <c r="E14" s="7"/>
      <c r="F14" s="7"/>
      <c r="G14" s="6"/>
      <c r="H14" s="6"/>
      <c r="I14" s="6"/>
      <c r="J14" s="6"/>
      <c r="K14" s="6"/>
    </row>
    <row r="15" ht="22.5" customHeight="1">
      <c r="A15" s="6"/>
      <c r="B15" s="6"/>
      <c r="C15" s="6"/>
      <c r="D15" s="6"/>
      <c r="E15" s="7"/>
      <c r="F15" s="7"/>
      <c r="G15" s="6"/>
      <c r="H15" s="6"/>
      <c r="I15" s="6"/>
      <c r="J15" s="6"/>
      <c r="K15" s="6"/>
    </row>
  </sheetData>
  <dataValidations>
    <dataValidation type="list" allowBlank="1" showErrorMessage="1" sqref="F2:F15">
      <formula1>#REF!</formula1>
    </dataValidation>
    <dataValidation allowBlank="1" showDropDown="1" sqref="A2:D15 G2:K15"/>
    <dataValidation type="list" allowBlank="1" sqref="E2:E15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B463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3.5"/>
    <col customWidth="1" min="3" max="3" width="21.5"/>
    <col customWidth="1" min="4" max="4" width="19.75"/>
    <col customWidth="1" min="5" max="5" width="23.5"/>
    <col customWidth="1" min="6" max="7" width="16.5"/>
    <col customWidth="1" min="8" max="8" width="29.25"/>
  </cols>
  <sheetData>
    <row r="1" ht="22.5" customHeight="1">
      <c r="A1" s="4" t="s">
        <v>31</v>
      </c>
      <c r="B1" s="4" t="s">
        <v>3</v>
      </c>
      <c r="C1" s="4" t="s">
        <v>34</v>
      </c>
      <c r="D1" s="4" t="s">
        <v>36</v>
      </c>
      <c r="E1" s="4" t="s">
        <v>38</v>
      </c>
      <c r="F1" s="4" t="s">
        <v>41</v>
      </c>
      <c r="G1" s="4" t="s">
        <v>42</v>
      </c>
      <c r="H1" s="4" t="s">
        <v>45</v>
      </c>
    </row>
    <row r="2" ht="22.5" customHeight="1">
      <c r="A2" s="6"/>
      <c r="B2" s="6"/>
      <c r="C2" s="7"/>
      <c r="D2" s="8"/>
      <c r="E2" s="9" t="b">
        <v>0</v>
      </c>
      <c r="F2" s="9" t="b">
        <v>0</v>
      </c>
    </row>
    <row r="3" ht="22.5" customHeight="1">
      <c r="A3" s="6"/>
      <c r="B3" s="6"/>
      <c r="C3" s="7"/>
      <c r="D3" s="8"/>
      <c r="E3" s="11" t="b">
        <v>0</v>
      </c>
      <c r="F3" s="9" t="b">
        <v>0</v>
      </c>
    </row>
    <row r="4" ht="22.5" customHeight="1">
      <c r="A4" s="6"/>
      <c r="B4" s="6"/>
      <c r="C4" s="7"/>
      <c r="D4" s="8"/>
      <c r="E4" s="11" t="b">
        <v>0</v>
      </c>
      <c r="F4" s="9" t="b">
        <v>0</v>
      </c>
    </row>
    <row r="5" ht="22.5" customHeight="1">
      <c r="A5" s="6"/>
      <c r="B5" s="6"/>
      <c r="C5" s="7"/>
      <c r="D5" s="8"/>
      <c r="E5" s="11" t="b">
        <v>0</v>
      </c>
      <c r="F5" s="9" t="b">
        <v>0</v>
      </c>
    </row>
    <row r="6" ht="22.5" customHeight="1">
      <c r="A6" s="6"/>
      <c r="B6" s="6"/>
      <c r="C6" s="7"/>
      <c r="D6" s="8"/>
      <c r="E6" s="11" t="b">
        <v>0</v>
      </c>
      <c r="F6" s="9" t="b">
        <v>0</v>
      </c>
    </row>
    <row r="7" ht="22.5" customHeight="1">
      <c r="A7" s="6"/>
      <c r="B7" s="6"/>
      <c r="C7" s="7"/>
      <c r="D7" s="8"/>
      <c r="E7" s="11" t="b">
        <v>0</v>
      </c>
      <c r="F7" s="9" t="b">
        <v>0</v>
      </c>
    </row>
    <row r="8" ht="22.5" customHeight="1">
      <c r="A8" s="6"/>
      <c r="B8" s="6"/>
      <c r="C8" s="7"/>
      <c r="D8" s="8"/>
      <c r="E8" s="11" t="b">
        <v>0</v>
      </c>
      <c r="F8" s="9" t="b">
        <v>0</v>
      </c>
    </row>
    <row r="9" ht="22.5" customHeight="1">
      <c r="A9" s="6"/>
      <c r="B9" s="6"/>
      <c r="C9" s="7"/>
      <c r="D9" s="8"/>
      <c r="E9" s="11" t="b">
        <v>0</v>
      </c>
      <c r="F9" s="9" t="b">
        <v>0</v>
      </c>
    </row>
    <row r="10" ht="22.5" customHeight="1">
      <c r="A10" s="6"/>
      <c r="B10" s="6"/>
      <c r="C10" s="7"/>
      <c r="D10" s="8"/>
      <c r="E10" s="11" t="b">
        <v>0</v>
      </c>
      <c r="F10" s="9" t="b">
        <v>0</v>
      </c>
    </row>
    <row r="11" ht="22.5" customHeight="1">
      <c r="A11" s="6"/>
      <c r="B11" s="6"/>
      <c r="C11" s="7"/>
      <c r="D11" s="8"/>
      <c r="E11" s="11" t="b">
        <v>0</v>
      </c>
      <c r="F11" s="9" t="b">
        <v>0</v>
      </c>
    </row>
    <row r="12" ht="22.5" customHeight="1">
      <c r="A12" s="6"/>
      <c r="B12" s="6"/>
      <c r="C12" s="7"/>
      <c r="D12" s="8"/>
      <c r="E12" s="11" t="b">
        <v>0</v>
      </c>
      <c r="F12" s="9" t="b">
        <v>0</v>
      </c>
    </row>
    <row r="13" ht="22.5" customHeight="1">
      <c r="A13" s="6"/>
      <c r="B13" s="6"/>
      <c r="C13" s="7"/>
      <c r="D13" s="8"/>
      <c r="E13" s="11" t="b">
        <v>0</v>
      </c>
      <c r="F13" s="9" t="b">
        <v>0</v>
      </c>
    </row>
    <row r="14" ht="22.5" customHeight="1">
      <c r="A14" s="6"/>
      <c r="B14" s="6"/>
      <c r="C14" s="7"/>
      <c r="D14" s="8"/>
      <c r="E14" s="11" t="b">
        <v>0</v>
      </c>
      <c r="F14" s="9" t="b">
        <v>0</v>
      </c>
    </row>
  </sheetData>
  <dataValidations>
    <dataValidation type="list" allowBlank="1" showErrorMessage="1" sqref="C2:C14">
      <formula1>#REF!</formula1>
    </dataValidation>
    <dataValidation type="custom" allowBlank="1" showDropDown="1" sqref="D2:D14">
      <formula1>AND(ISNUMBER(D2),(NOT(OR(NOT(ISERROR(DATEVALUE(D2))), AND(ISNUMBER(D2), LEFT(CELL("format", D2))="D")))))</formula1>
    </dataValidation>
    <dataValidation allowBlank="1" showDropDown="1" sqref="A2:B14"/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0"/>
    <col customWidth="1" min="3" max="6" width="22.63"/>
    <col customWidth="1" min="7" max="7" width="24.0"/>
    <col customWidth="1" min="8" max="8" width="19.63"/>
    <col customWidth="1" min="9" max="9" width="19.88"/>
    <col customWidth="1" min="10" max="10" width="22.38"/>
    <col customWidth="1" min="11" max="11" width="24.5"/>
  </cols>
  <sheetData>
    <row r="1" ht="22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47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6"/>
      <c r="B2" s="6"/>
      <c r="C2" s="7"/>
      <c r="D2" s="6"/>
      <c r="E2" s="6"/>
      <c r="F2" s="6"/>
      <c r="G2" s="14"/>
      <c r="H2" s="14"/>
      <c r="I2" s="14">
        <f t="shared" ref="I2:I8" si="1">G2-H2</f>
        <v>0</v>
      </c>
      <c r="J2" s="15"/>
      <c r="K2" s="8"/>
    </row>
    <row r="3" ht="22.5" customHeight="1">
      <c r="A3" s="6"/>
      <c r="B3" s="6"/>
      <c r="C3" s="7"/>
      <c r="D3" s="6"/>
      <c r="E3" s="6"/>
      <c r="F3" s="6"/>
      <c r="G3" s="14"/>
      <c r="H3" s="14"/>
      <c r="I3" s="14">
        <f t="shared" si="1"/>
        <v>0</v>
      </c>
      <c r="J3" s="15"/>
      <c r="K3" s="8"/>
    </row>
    <row r="4" ht="22.5" customHeight="1">
      <c r="A4" s="6"/>
      <c r="B4" s="6"/>
      <c r="C4" s="7"/>
      <c r="D4" s="6"/>
      <c r="E4" s="6"/>
      <c r="F4" s="6"/>
      <c r="G4" s="14"/>
      <c r="H4" s="14"/>
      <c r="I4" s="14">
        <f t="shared" si="1"/>
        <v>0</v>
      </c>
      <c r="J4" s="15"/>
      <c r="K4" s="8"/>
    </row>
    <row r="5" ht="22.5" customHeight="1">
      <c r="A5" s="6"/>
      <c r="B5" s="6"/>
      <c r="C5" s="7"/>
      <c r="D5" s="6"/>
      <c r="E5" s="6"/>
      <c r="F5" s="6"/>
      <c r="G5" s="14"/>
      <c r="H5" s="14"/>
      <c r="I5" s="14">
        <f t="shared" si="1"/>
        <v>0</v>
      </c>
      <c r="J5" s="15"/>
      <c r="K5" s="8"/>
    </row>
    <row r="6" ht="22.5" customHeight="1">
      <c r="A6" s="6"/>
      <c r="B6" s="6"/>
      <c r="C6" s="7"/>
      <c r="D6" s="6"/>
      <c r="E6" s="6"/>
      <c r="F6" s="6"/>
      <c r="G6" s="14"/>
      <c r="H6" s="14"/>
      <c r="I6" s="14">
        <f t="shared" si="1"/>
        <v>0</v>
      </c>
      <c r="J6" s="15"/>
      <c r="K6" s="8"/>
    </row>
    <row r="7" ht="22.5" customHeight="1">
      <c r="A7" s="6"/>
      <c r="B7" s="6"/>
      <c r="C7" s="7"/>
      <c r="D7" s="6"/>
      <c r="E7" s="6"/>
      <c r="F7" s="6"/>
      <c r="G7" s="14"/>
      <c r="H7" s="14"/>
      <c r="I7" s="14">
        <f t="shared" si="1"/>
        <v>0</v>
      </c>
      <c r="J7" s="15"/>
      <c r="K7" s="8"/>
    </row>
    <row r="8" ht="22.5" customHeight="1">
      <c r="A8" s="6"/>
      <c r="B8" s="6"/>
      <c r="C8" s="7"/>
      <c r="D8" s="6"/>
      <c r="E8" s="6"/>
      <c r="F8" s="6"/>
      <c r="G8" s="14"/>
      <c r="H8" s="14"/>
      <c r="I8" s="14">
        <f t="shared" si="1"/>
        <v>0</v>
      </c>
      <c r="J8" s="15"/>
      <c r="K8" s="8"/>
      <c r="M8" s="1" t="s">
        <v>65</v>
      </c>
    </row>
  </sheetData>
  <dataValidations>
    <dataValidation type="list" allowBlank="1" showErrorMessage="1" sqref="C2:C8">
      <formula1>#REF!</formula1>
    </dataValidation>
    <dataValidation type="custom" allowBlank="1" showDropDown="1" sqref="J2:J8">
      <formula1>OR(NOT(ISERROR(DATEVALUE(J2))), AND(ISNUMBER(J2), LEFT(CELL("format", J2))="D"))</formula1>
    </dataValidation>
    <dataValidation type="custom" allowBlank="1" showDropDown="1" sqref="G2:I8 K2:K8">
      <formula1>AND(ISNUMBER(G2),(NOT(OR(NOT(ISERROR(DATEVALUE(G2))), AND(ISNUMBER(G2), LEFT(CELL("format", G2))="D")))))</formula1>
    </dataValidation>
    <dataValidation allowBlank="1" showDropDown="1" sqref="A2:B8 D2:F8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1.38"/>
    <col customWidth="1" min="4" max="6" width="22.63"/>
    <col customWidth="1" min="7" max="7" width="15.5"/>
    <col customWidth="1" min="8" max="8" width="20.63"/>
  </cols>
  <sheetData>
    <row r="1" ht="22.5" customHeight="1">
      <c r="A1" s="16" t="s">
        <v>59</v>
      </c>
      <c r="B1" s="16" t="s">
        <v>51</v>
      </c>
      <c r="C1" s="16" t="s">
        <v>50</v>
      </c>
      <c r="D1" s="16" t="s">
        <v>60</v>
      </c>
      <c r="E1" s="16" t="s">
        <v>61</v>
      </c>
      <c r="F1" s="16" t="s">
        <v>62</v>
      </c>
      <c r="G1" s="4" t="s">
        <v>63</v>
      </c>
      <c r="H1" s="4" t="s">
        <v>64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2.5" customHeight="1">
      <c r="A2" s="6"/>
      <c r="B2" s="7"/>
      <c r="C2" s="6"/>
      <c r="D2" s="14"/>
      <c r="E2" s="14"/>
      <c r="F2" s="14"/>
      <c r="G2" s="15"/>
      <c r="H2" s="7"/>
    </row>
    <row r="3" ht="22.5" customHeight="1">
      <c r="A3" s="6"/>
      <c r="B3" s="7"/>
      <c r="C3" s="6"/>
      <c r="D3" s="14"/>
      <c r="E3" s="14"/>
      <c r="F3" s="14"/>
      <c r="G3" s="15"/>
      <c r="H3" s="7"/>
    </row>
    <row r="4" ht="22.5" customHeight="1">
      <c r="A4" s="6"/>
      <c r="B4" s="7"/>
      <c r="C4" s="6"/>
      <c r="D4" s="14"/>
      <c r="E4" s="14"/>
      <c r="F4" s="14"/>
      <c r="G4" s="15"/>
      <c r="H4" s="7"/>
    </row>
    <row r="5" ht="22.5" customHeight="1">
      <c r="A5" s="6"/>
      <c r="B5" s="7"/>
      <c r="C5" s="6"/>
      <c r="D5" s="14"/>
      <c r="E5" s="14"/>
      <c r="F5" s="14"/>
      <c r="G5" s="15"/>
      <c r="H5" s="7"/>
    </row>
    <row r="6" ht="22.5" customHeight="1">
      <c r="A6" s="6"/>
      <c r="B6" s="7"/>
      <c r="C6" s="6"/>
      <c r="D6" s="14"/>
      <c r="E6" s="14"/>
      <c r="F6" s="14"/>
      <c r="G6" s="15"/>
      <c r="H6" s="7"/>
    </row>
    <row r="7" ht="22.5" customHeight="1">
      <c r="A7" s="6"/>
      <c r="B7" s="7"/>
      <c r="C7" s="6"/>
      <c r="D7" s="14"/>
      <c r="E7" s="14"/>
      <c r="F7" s="14"/>
      <c r="G7" s="15"/>
      <c r="H7" s="7"/>
    </row>
    <row r="8" ht="22.5" customHeight="1">
      <c r="A8" s="6"/>
      <c r="B8" s="7"/>
      <c r="C8" s="6"/>
      <c r="D8" s="14"/>
      <c r="E8" s="14"/>
      <c r="F8" s="14"/>
      <c r="G8" s="15"/>
      <c r="H8" s="7"/>
    </row>
  </sheetData>
  <dataValidations>
    <dataValidation type="list" allowBlank="1" showErrorMessage="1" sqref="B2:B8 H2:H8">
      <formula1>#REF!</formula1>
    </dataValidation>
    <dataValidation type="custom" allowBlank="1" showDropDown="1" sqref="G2:G8">
      <formula1>OR(NOT(ISERROR(DATEVALUE(G2))), AND(ISNUMBER(G2), LEFT(CELL("format", G2))="D"))</formula1>
    </dataValidation>
    <dataValidation type="custom" allowBlank="1" showDropDown="1" sqref="D2:F8">
      <formula1>AND(ISNUMBER(D2),(NOT(OR(NOT(ISERROR(DATEVALUE(D2))), AND(ISNUMBER(D2), LEFT(CELL("format", D2))="D")))))</formula1>
    </dataValidation>
    <dataValidation allowBlank="1" showDropDown="1" sqref="A2:A8 C2:C8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27.0"/>
    <col customWidth="1" min="6" max="6" width="22.63"/>
  </cols>
  <sheetData>
    <row r="1" ht="22.5" customHeight="1">
      <c r="A1" s="18" t="s">
        <v>66</v>
      </c>
      <c r="B1" s="18" t="s">
        <v>67</v>
      </c>
      <c r="C1" s="18" t="s">
        <v>68</v>
      </c>
      <c r="D1" s="18" t="s">
        <v>69</v>
      </c>
      <c r="E1" s="18" t="s">
        <v>70</v>
      </c>
      <c r="F1" s="18" t="s">
        <v>71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2.5" customHeight="1">
      <c r="A2" s="20"/>
      <c r="B2" s="20"/>
      <c r="C2" s="6"/>
      <c r="D2" s="6"/>
      <c r="E2" s="6"/>
      <c r="F2" s="6"/>
    </row>
    <row r="3" ht="22.5" customHeight="1">
      <c r="A3" s="20"/>
      <c r="B3" s="20"/>
      <c r="C3" s="6"/>
      <c r="D3" s="6"/>
      <c r="E3" s="6"/>
      <c r="F3" s="6"/>
    </row>
    <row r="4" ht="22.5" customHeight="1">
      <c r="A4" s="20"/>
      <c r="B4" s="20"/>
      <c r="C4" s="6"/>
      <c r="D4" s="6"/>
      <c r="E4" s="6"/>
      <c r="F4" s="6"/>
    </row>
    <row r="5" ht="22.5" customHeight="1">
      <c r="A5" s="20"/>
      <c r="B5" s="20"/>
      <c r="C5" s="6"/>
      <c r="D5" s="6"/>
      <c r="E5" s="6"/>
      <c r="F5" s="6"/>
    </row>
    <row r="6" ht="22.5" customHeight="1">
      <c r="A6" s="20"/>
      <c r="B6" s="20"/>
      <c r="C6" s="6"/>
      <c r="D6" s="6"/>
      <c r="E6" s="6"/>
      <c r="F6" s="6"/>
    </row>
    <row r="7" ht="22.5" customHeight="1">
      <c r="A7" s="20"/>
      <c r="B7" s="20"/>
      <c r="C7" s="6"/>
      <c r="D7" s="6"/>
      <c r="E7" s="6"/>
      <c r="F7" s="6"/>
    </row>
    <row r="8" ht="22.5" customHeight="1">
      <c r="A8" s="20"/>
      <c r="B8" s="20"/>
      <c r="C8" s="6"/>
      <c r="D8" s="6"/>
      <c r="E8" s="6"/>
      <c r="F8" s="6"/>
    </row>
  </sheetData>
  <dataValidations>
    <dataValidation type="custom" allowBlank="1" showDropDown="1" sqref="A2:B8">
      <formula1>OR(NOT(ISERROR(DATEVALUE(A2))), AND(ISNUMBER(A2), LEFT(CELL("format", A2))="D"))</formula1>
    </dataValidation>
    <dataValidation allowBlank="1" showDropDown="1" sqref="C2:F8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6" width="22.63"/>
    <col customWidth="1" min="7" max="7" width="13.13"/>
    <col customWidth="1" min="8" max="8" width="20.63"/>
  </cols>
  <sheetData>
    <row r="1" ht="22.5" customHeight="1">
      <c r="A1" s="3" t="s">
        <v>72</v>
      </c>
      <c r="B1" s="3" t="s">
        <v>73</v>
      </c>
      <c r="C1" s="3" t="s">
        <v>74</v>
      </c>
      <c r="D1" s="3" t="s">
        <v>75</v>
      </c>
      <c r="E1" s="16" t="s">
        <v>76</v>
      </c>
      <c r="F1" s="3" t="s">
        <v>77</v>
      </c>
      <c r="G1" s="5" t="s">
        <v>45</v>
      </c>
      <c r="H1" s="5" t="s">
        <v>78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6"/>
      <c r="B2" s="6"/>
      <c r="C2" s="6"/>
      <c r="D2" s="6"/>
      <c r="E2" s="21"/>
      <c r="F2" s="6"/>
      <c r="G2" s="6"/>
      <c r="H2" s="7"/>
    </row>
    <row r="3" ht="22.5" customHeight="1">
      <c r="A3" s="6"/>
      <c r="B3" s="6"/>
      <c r="C3" s="6"/>
      <c r="D3" s="6"/>
      <c r="E3" s="21"/>
      <c r="F3" s="6"/>
      <c r="G3" s="6"/>
      <c r="H3" s="7"/>
    </row>
    <row r="4" ht="22.5" customHeight="1">
      <c r="A4" s="6"/>
      <c r="B4" s="6"/>
      <c r="C4" s="6"/>
      <c r="D4" s="6"/>
      <c r="E4" s="21"/>
      <c r="F4" s="6"/>
      <c r="G4" s="6"/>
      <c r="H4" s="7"/>
    </row>
    <row r="5" ht="22.5" customHeight="1">
      <c r="A5" s="6"/>
      <c r="B5" s="6"/>
      <c r="C5" s="6"/>
      <c r="D5" s="6"/>
      <c r="E5" s="21"/>
      <c r="F5" s="6"/>
      <c r="G5" s="6"/>
      <c r="H5" s="7"/>
    </row>
    <row r="6" ht="22.5" customHeight="1">
      <c r="A6" s="6"/>
      <c r="B6" s="6"/>
      <c r="C6" s="6"/>
      <c r="D6" s="6"/>
      <c r="E6" s="21"/>
      <c r="F6" s="6"/>
      <c r="G6" s="6"/>
      <c r="H6" s="7"/>
    </row>
    <row r="7" ht="22.5" customHeight="1">
      <c r="A7" s="6"/>
      <c r="B7" s="6"/>
      <c r="C7" s="6"/>
      <c r="D7" s="6"/>
      <c r="E7" s="21"/>
      <c r="F7" s="6"/>
      <c r="G7" s="6"/>
      <c r="H7" s="7"/>
    </row>
    <row r="8" ht="22.5" customHeight="1">
      <c r="A8" s="6"/>
      <c r="B8" s="6"/>
      <c r="C8" s="6"/>
      <c r="D8" s="6"/>
      <c r="E8" s="21"/>
      <c r="F8" s="6"/>
      <c r="G8" s="6"/>
      <c r="H8" s="7"/>
    </row>
  </sheetData>
  <dataValidations>
    <dataValidation allowBlank="1" showDropDown="1" sqref="B2:D8 F2:G8"/>
    <dataValidation type="list" allowBlank="1" sqref="E2:E8 H2:H8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63"/>
    <col customWidth="1" min="3" max="3" width="35.38"/>
    <col customWidth="1" min="4" max="6" width="22.63"/>
  </cols>
  <sheetData>
    <row r="1" ht="22.5" customHeight="1">
      <c r="A1" s="3" t="s">
        <v>79</v>
      </c>
      <c r="B1" s="3" t="s">
        <v>80</v>
      </c>
      <c r="C1" s="3" t="s">
        <v>81</v>
      </c>
      <c r="D1" s="3" t="s">
        <v>69</v>
      </c>
      <c r="E1" s="3" t="s">
        <v>82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22.5" customHeight="1">
      <c r="A2" s="8"/>
      <c r="B2" s="22"/>
      <c r="C2" s="6"/>
      <c r="D2" s="6"/>
      <c r="E2" s="7"/>
    </row>
    <row r="3" ht="22.5" customHeight="1">
      <c r="A3" s="8"/>
      <c r="B3" s="22"/>
      <c r="C3" s="6"/>
      <c r="D3" s="6"/>
      <c r="E3" s="7"/>
    </row>
    <row r="4" ht="22.5" customHeight="1">
      <c r="A4" s="8"/>
      <c r="B4" s="22"/>
      <c r="C4" s="6"/>
      <c r="D4" s="6"/>
      <c r="E4" s="7"/>
    </row>
    <row r="5" ht="22.5" customHeight="1">
      <c r="A5" s="8"/>
      <c r="B5" s="22"/>
      <c r="C5" s="6"/>
      <c r="D5" s="6"/>
      <c r="E5" s="7"/>
    </row>
    <row r="6" ht="22.5" customHeight="1">
      <c r="A6" s="8"/>
      <c r="B6" s="22"/>
      <c r="C6" s="6"/>
      <c r="D6" s="6"/>
      <c r="E6" s="7"/>
    </row>
    <row r="7" ht="22.5" customHeight="1">
      <c r="A7" s="8"/>
      <c r="B7" s="22"/>
      <c r="C7" s="6"/>
      <c r="D7" s="6"/>
      <c r="E7" s="7"/>
    </row>
    <row r="8" ht="22.5" customHeight="1">
      <c r="A8" s="8"/>
      <c r="B8" s="22"/>
      <c r="C8" s="6"/>
      <c r="D8" s="6"/>
      <c r="E8" s="7"/>
    </row>
  </sheetData>
  <dataValidations>
    <dataValidation type="custom" allowBlank="1" showDropDown="1" sqref="B2:B8">
      <formula1>OR(TIMEVALUE(TEXT(B2, "hh:mm:ss"))=B2, AND(ISNUMBER(B2), LEFT(CELL("format", B2))="D"))</formula1>
    </dataValidation>
    <dataValidation type="custom" allowBlank="1" showDropDown="1" sqref="A2:A8">
      <formula1>AND(ISNUMBER(A2),(NOT(OR(NOT(ISERROR(DATEVALUE(A2))), AND(ISNUMBER(A2), LEFT(CELL("format", A2))="D")))))</formula1>
    </dataValidation>
    <dataValidation allowBlank="1" showDropDown="1" sqref="C2:D8"/>
    <dataValidation type="list" allowBlank="1" sqref="E2:E8">
      <formula1>#REF!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15.5"/>
    <col customWidth="1" min="8" max="8" width="18.63"/>
  </cols>
  <sheetData>
    <row r="1" ht="22.5" customHeight="1">
      <c r="A1" s="3" t="s">
        <v>83</v>
      </c>
      <c r="B1" s="3" t="s">
        <v>84</v>
      </c>
      <c r="C1" s="3" t="s">
        <v>85</v>
      </c>
      <c r="D1" s="3" t="s">
        <v>51</v>
      </c>
      <c r="E1" s="3" t="s">
        <v>82</v>
      </c>
      <c r="F1" s="3" t="s">
        <v>86</v>
      </c>
      <c r="G1" s="5" t="s">
        <v>63</v>
      </c>
      <c r="H1" s="5" t="s">
        <v>87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23"/>
      <c r="B2" s="23"/>
      <c r="C2" s="7"/>
      <c r="D2" s="7"/>
      <c r="E2" s="7"/>
      <c r="F2" s="6"/>
      <c r="G2" s="15"/>
      <c r="H2" s="6"/>
    </row>
    <row r="3" ht="22.5" customHeight="1">
      <c r="A3" s="23"/>
      <c r="B3" s="23"/>
      <c r="C3" s="7"/>
      <c r="D3" s="7"/>
      <c r="E3" s="7"/>
      <c r="F3" s="6"/>
      <c r="G3" s="15"/>
      <c r="H3" s="6"/>
    </row>
    <row r="4" ht="22.5" customHeight="1">
      <c r="A4" s="23"/>
      <c r="B4" s="23"/>
      <c r="C4" s="7"/>
      <c r="D4" s="7"/>
      <c r="E4" s="7"/>
      <c r="F4" s="6"/>
      <c r="G4" s="15"/>
      <c r="H4" s="6"/>
    </row>
    <row r="5" ht="22.5" customHeight="1">
      <c r="A5" s="23"/>
      <c r="B5" s="23"/>
      <c r="C5" s="7"/>
      <c r="D5" s="7"/>
      <c r="E5" s="7"/>
      <c r="F5" s="6"/>
      <c r="G5" s="15"/>
      <c r="H5" s="6"/>
    </row>
    <row r="6" ht="22.5" customHeight="1">
      <c r="A6" s="23"/>
      <c r="B6" s="23"/>
      <c r="C6" s="7"/>
      <c r="D6" s="7"/>
      <c r="E6" s="7"/>
      <c r="F6" s="6"/>
      <c r="G6" s="15"/>
      <c r="H6" s="6"/>
    </row>
    <row r="7" ht="22.5" customHeight="1">
      <c r="A7" s="23"/>
      <c r="B7" s="23"/>
      <c r="C7" s="7"/>
      <c r="D7" s="7"/>
      <c r="E7" s="7"/>
      <c r="F7" s="6"/>
      <c r="G7" s="15"/>
      <c r="H7" s="6"/>
    </row>
    <row r="8" ht="22.5" customHeight="1">
      <c r="A8" s="23"/>
      <c r="B8" s="23"/>
      <c r="C8" s="7"/>
      <c r="D8" s="7"/>
      <c r="E8" s="7"/>
      <c r="F8" s="6"/>
      <c r="G8" s="15"/>
      <c r="H8" s="6"/>
    </row>
  </sheetData>
  <dataValidations>
    <dataValidation type="list" allowBlank="1" showErrorMessage="1" sqref="C2:E8">
      <formula1>#REF!</formula1>
    </dataValidation>
    <dataValidation type="custom" allowBlank="1" showDropDown="1" sqref="G2:G8">
      <formula1>OR(NOT(ISERROR(DATEVALUE(G2))), AND(ISNUMBER(G2), LEFT(CELL("format", G2))="D"))</formula1>
    </dataValidation>
    <dataValidation allowBlank="1" showDropDown="1" sqref="F2:F8 H2:H8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4D9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31.5"/>
    <col customWidth="1" min="3" max="3" width="33.88"/>
    <col customWidth="1" min="4" max="6" width="22.63"/>
    <col customWidth="1" min="7" max="7" width="21.13"/>
    <col customWidth="1" min="8" max="8" width="22.38"/>
    <col customWidth="1" min="9" max="9" width="37.0"/>
  </cols>
  <sheetData>
    <row r="1" ht="22.5" customHeight="1">
      <c r="A1" s="16" t="s">
        <v>88</v>
      </c>
      <c r="B1" s="16" t="s">
        <v>89</v>
      </c>
      <c r="C1" s="16" t="s">
        <v>90</v>
      </c>
      <c r="D1" s="16" t="s">
        <v>91</v>
      </c>
      <c r="E1" s="16" t="s">
        <v>92</v>
      </c>
      <c r="F1" s="16" t="s">
        <v>93</v>
      </c>
      <c r="G1" s="5" t="s">
        <v>94</v>
      </c>
      <c r="H1" s="4" t="s">
        <v>95</v>
      </c>
      <c r="I1" s="5" t="s">
        <v>45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2.5" customHeight="1">
      <c r="A2" s="24"/>
      <c r="B2" s="24"/>
      <c r="C2" s="25"/>
      <c r="D2" s="7"/>
      <c r="E2" s="26"/>
      <c r="F2" s="27"/>
      <c r="G2" s="9" t="b">
        <v>0</v>
      </c>
      <c r="H2" s="27"/>
      <c r="I2" s="6"/>
    </row>
    <row r="3" ht="22.5" customHeight="1">
      <c r="A3" s="24"/>
      <c r="B3" s="24"/>
      <c r="C3" s="24"/>
      <c r="D3" s="7"/>
      <c r="E3" s="26"/>
      <c r="F3" s="27"/>
      <c r="G3" s="9" t="b">
        <v>0</v>
      </c>
      <c r="H3" s="27"/>
      <c r="I3" s="6"/>
    </row>
    <row r="4" ht="22.5" customHeight="1">
      <c r="A4" s="24"/>
      <c r="B4" s="24"/>
      <c r="C4" s="24"/>
      <c r="D4" s="7"/>
      <c r="E4" s="26"/>
      <c r="F4" s="27"/>
      <c r="G4" s="9" t="b">
        <v>0</v>
      </c>
      <c r="H4" s="27"/>
      <c r="I4" s="6"/>
    </row>
    <row r="5" ht="22.5" customHeight="1">
      <c r="A5" s="24"/>
      <c r="B5" s="24"/>
      <c r="C5" s="24"/>
      <c r="D5" s="7"/>
      <c r="E5" s="26"/>
      <c r="F5" s="27"/>
      <c r="G5" s="9" t="b">
        <v>0</v>
      </c>
      <c r="H5" s="27"/>
      <c r="I5" s="6"/>
    </row>
    <row r="6" ht="22.5" customHeight="1">
      <c r="A6" s="24"/>
      <c r="B6" s="24"/>
      <c r="C6" s="24"/>
      <c r="D6" s="7"/>
      <c r="E6" s="26"/>
      <c r="F6" s="27"/>
      <c r="G6" s="9" t="b">
        <v>0</v>
      </c>
      <c r="H6" s="27"/>
      <c r="I6" s="6"/>
    </row>
    <row r="7" ht="22.5" customHeight="1">
      <c r="A7" s="24"/>
      <c r="B7" s="24"/>
      <c r="C7" s="24"/>
      <c r="D7" s="7"/>
      <c r="E7" s="26"/>
      <c r="F7" s="27"/>
      <c r="G7" s="9" t="b">
        <v>0</v>
      </c>
      <c r="H7" s="27"/>
      <c r="I7" s="6"/>
    </row>
    <row r="8" ht="22.5" customHeight="1">
      <c r="A8" s="24"/>
      <c r="B8" s="24"/>
      <c r="C8" s="24"/>
      <c r="D8" s="7"/>
      <c r="E8" s="26"/>
      <c r="F8" s="27"/>
      <c r="G8" s="9" t="b">
        <v>0</v>
      </c>
      <c r="H8" s="27"/>
      <c r="I8" s="6"/>
    </row>
  </sheetData>
  <dataValidations>
    <dataValidation type="custom" allowBlank="1" showDropDown="1" sqref="F2:F8 H2:H8">
      <formula1>OR(NOT(ISERROR(DATEVALUE(F2))), AND(ISNUMBER(F2), LEFT(CELL("format", F2))="D"))</formula1>
    </dataValidation>
    <dataValidation type="custom" allowBlank="1" showDropDown="1" sqref="E2:E8">
      <formula1>AND(ISNUMBER(E2),(NOT(OR(NOT(ISERROR(DATEVALUE(E2))), AND(ISNUMBER(E2), LEFT(CELL("format", E2))="D")))))</formula1>
    </dataValidation>
    <dataValidation allowBlank="1" showDropDown="1" sqref="A2:C8 I2:I8"/>
    <dataValidation type="list" allowBlank="1" sqref="D2:D8">
      <formula1>#REF!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628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3.13"/>
    <col customWidth="1" min="5" max="5" width="22.63"/>
    <col customWidth="1" min="6" max="6" width="25.5"/>
    <col customWidth="1" min="7" max="7" width="22.25"/>
  </cols>
  <sheetData>
    <row r="1" ht="22.5" customHeight="1">
      <c r="A1" s="16" t="s">
        <v>59</v>
      </c>
      <c r="B1" s="16" t="s">
        <v>96</v>
      </c>
      <c r="C1" s="16" t="s">
        <v>51</v>
      </c>
      <c r="D1" s="16" t="s">
        <v>97</v>
      </c>
      <c r="E1" s="16" t="s">
        <v>98</v>
      </c>
      <c r="F1" s="16" t="s">
        <v>99</v>
      </c>
      <c r="G1" s="4" t="s">
        <v>100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2.5" customHeight="1">
      <c r="A2" s="28"/>
      <c r="B2" s="28"/>
      <c r="C2" s="7"/>
      <c r="D2" s="6"/>
      <c r="E2" s="9" t="b">
        <v>0</v>
      </c>
      <c r="F2" s="9" t="b">
        <v>0</v>
      </c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22.5" customHeight="1">
      <c r="A3" s="28"/>
      <c r="B3" s="28"/>
      <c r="C3" s="7"/>
      <c r="D3" s="6"/>
      <c r="E3" s="9" t="b">
        <v>0</v>
      </c>
      <c r="F3" s="9" t="b">
        <v>0</v>
      </c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2.5" customHeight="1">
      <c r="A4" s="28"/>
      <c r="B4" s="28"/>
      <c r="C4" s="7"/>
      <c r="D4" s="6"/>
      <c r="E4" s="9" t="b">
        <v>0</v>
      </c>
      <c r="F4" s="9" t="b">
        <v>0</v>
      </c>
      <c r="G4" s="29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2.5" customHeight="1">
      <c r="A5" s="28"/>
      <c r="B5" s="28"/>
      <c r="C5" s="7"/>
      <c r="D5" s="6"/>
      <c r="E5" s="9" t="b">
        <v>0</v>
      </c>
      <c r="F5" s="9" t="b">
        <v>0</v>
      </c>
      <c r="G5" s="29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2.5" customHeight="1">
      <c r="A6" s="28"/>
      <c r="B6" s="28"/>
      <c r="C6" s="7"/>
      <c r="D6" s="6"/>
      <c r="E6" s="9" t="b">
        <v>0</v>
      </c>
      <c r="F6" s="9" t="b">
        <v>0</v>
      </c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2.5" customHeight="1">
      <c r="A7" s="28"/>
      <c r="B7" s="28"/>
      <c r="C7" s="7"/>
      <c r="D7" s="6"/>
      <c r="E7" s="9" t="b">
        <v>0</v>
      </c>
      <c r="F7" s="9" t="b">
        <v>0</v>
      </c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2.5" customHeight="1">
      <c r="A8" s="28"/>
      <c r="B8" s="28"/>
      <c r="C8" s="7"/>
      <c r="D8" s="6"/>
      <c r="E8" s="9" t="b">
        <v>0</v>
      </c>
      <c r="F8" s="9" t="b">
        <v>0</v>
      </c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</sheetData>
  <dataValidations>
    <dataValidation allowBlank="1" showDropDown="1" sqref="D2:D8"/>
    <dataValidation type="list" allowBlank="1" sqref="C2:C8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1" t="s">
        <v>102</v>
      </c>
      <c r="C1" s="1" t="s">
        <v>103</v>
      </c>
    </row>
    <row r="2">
      <c r="A2" s="1" t="s">
        <v>104</v>
      </c>
      <c r="B2" s="1" t="s">
        <v>105</v>
      </c>
      <c r="C2" s="31">
        <f>COUNTA(GUESTS!A2:A1000)</f>
        <v>0</v>
      </c>
    </row>
    <row r="3">
      <c r="A3" s="1" t="s">
        <v>104</v>
      </c>
      <c r="B3" s="1" t="s">
        <v>106</v>
      </c>
      <c r="C3" s="31">
        <f>COUNTIF(GUESTS!F2:F1000, "Accepted") + COUNTIF(GUESTS!F2:F1000, "Yes")</f>
        <v>0</v>
      </c>
    </row>
    <row r="4">
      <c r="A4" s="1" t="s">
        <v>104</v>
      </c>
      <c r="B4" s="1" t="s">
        <v>107</v>
      </c>
      <c r="C4" s="31">
        <f>COUNTIF(GUESTS!F2:F1000, "Declined") + COUNTIF(GUESTS!F2:F1000, "No")</f>
        <v>0</v>
      </c>
    </row>
    <row r="5">
      <c r="A5" s="1" t="s">
        <v>104</v>
      </c>
      <c r="B5" s="1" t="s">
        <v>111</v>
      </c>
      <c r="C5" s="31">
        <f>C2 - C3 - C4</f>
        <v>0</v>
      </c>
    </row>
    <row r="6">
      <c r="A6" s="1" t="s">
        <v>118</v>
      </c>
      <c r="B6" s="1" t="s">
        <v>120</v>
      </c>
      <c r="C6" s="33">
        <f>SUM(BUDGET!D2:D1000)</f>
        <v>0</v>
      </c>
    </row>
    <row r="7">
      <c r="A7" s="1" t="s">
        <v>118</v>
      </c>
      <c r="B7" s="1" t="s">
        <v>135</v>
      </c>
      <c r="C7" s="33">
        <f>SUM(BUDGET!E2:E1000)</f>
        <v>0</v>
      </c>
    </row>
    <row r="8">
      <c r="A8" s="1" t="s">
        <v>118</v>
      </c>
      <c r="B8" s="1" t="s">
        <v>124</v>
      </c>
      <c r="C8" s="33">
        <f>SUM(BUDGET!F2:F1000)</f>
        <v>0</v>
      </c>
    </row>
    <row r="9">
      <c r="A9" s="1" t="s">
        <v>154</v>
      </c>
      <c r="B9" s="1" t="s">
        <v>155</v>
      </c>
      <c r="C9" s="31">
        <f>COUNTA('TO DO'!A2:A1000)</f>
        <v>0</v>
      </c>
    </row>
    <row r="10">
      <c r="A10" s="1" t="s">
        <v>154</v>
      </c>
      <c r="B10" s="1" t="s">
        <v>166</v>
      </c>
      <c r="C10" s="31">
        <f>COUNTIF('TO DO'!C2:C1000, "To Do") + COUNTIF('TO DO'!C2:C1000, "Not Started")</f>
        <v>0</v>
      </c>
    </row>
    <row r="11">
      <c r="A11" s="1" t="s">
        <v>154</v>
      </c>
      <c r="B11" s="1" t="s">
        <v>136</v>
      </c>
      <c r="C11" s="31">
        <f>COUNTIF('TO DO'!C2:C1000, "In Progress")</f>
        <v>0</v>
      </c>
    </row>
    <row r="12">
      <c r="A12" s="1" t="s">
        <v>154</v>
      </c>
      <c r="B12" s="1" t="s">
        <v>147</v>
      </c>
      <c r="C12" s="31">
        <f>COUNTIF('TO DO'!C2:C1000, "Completed") + COUNTIF('TO DO'!C2:C1000, "Done")</f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63"/>
    <col customWidth="1" min="3" max="3" width="14.88"/>
    <col customWidth="1" min="4" max="4" width="12.13"/>
    <col customWidth="1" min="5" max="5" width="14.88"/>
    <col customWidth="1" min="6" max="6" width="12.5"/>
    <col customWidth="1" min="7" max="7" width="18.13"/>
    <col customWidth="1" min="8" max="8" width="17.75"/>
    <col customWidth="1" min="9" max="9" width="19.75"/>
    <col customWidth="1" min="10" max="10" width="18.13"/>
    <col customWidth="1" min="11" max="11" width="14.25"/>
    <col customWidth="1" min="12" max="12" width="16.88"/>
  </cols>
  <sheetData>
    <row r="1">
      <c r="A1" s="32" t="s">
        <v>108</v>
      </c>
      <c r="B1" s="32" t="s">
        <v>109</v>
      </c>
      <c r="C1" s="32" t="s">
        <v>110</v>
      </c>
      <c r="D1" s="32" t="s">
        <v>40</v>
      </c>
      <c r="E1" s="32" t="s">
        <v>64</v>
      </c>
      <c r="F1" s="32" t="s">
        <v>112</v>
      </c>
      <c r="G1" s="32" t="s">
        <v>113</v>
      </c>
      <c r="H1" s="32" t="s">
        <v>114</v>
      </c>
      <c r="I1" s="32" t="s">
        <v>115</v>
      </c>
      <c r="J1" s="32" t="s">
        <v>116</v>
      </c>
      <c r="K1" s="32" t="s">
        <v>117</v>
      </c>
      <c r="L1" s="32" t="s">
        <v>78</v>
      </c>
      <c r="M1" s="32" t="s">
        <v>76</v>
      </c>
    </row>
    <row r="2">
      <c r="A2" s="1" t="s">
        <v>119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127</v>
      </c>
      <c r="J2" s="1" t="s">
        <v>128</v>
      </c>
      <c r="K2" s="1" t="s">
        <v>129</v>
      </c>
      <c r="L2" s="1" t="s">
        <v>130</v>
      </c>
      <c r="M2" s="1" t="s">
        <v>131</v>
      </c>
    </row>
    <row r="3">
      <c r="A3" s="1" t="s">
        <v>132</v>
      </c>
      <c r="B3" s="1" t="s">
        <v>133</v>
      </c>
      <c r="C3" s="1" t="s">
        <v>134</v>
      </c>
      <c r="D3" s="1" t="s">
        <v>107</v>
      </c>
      <c r="E3" s="1" t="s">
        <v>55</v>
      </c>
      <c r="F3" s="1" t="s">
        <v>136</v>
      </c>
      <c r="G3" s="1" t="s">
        <v>137</v>
      </c>
      <c r="H3" s="1" t="s">
        <v>138</v>
      </c>
      <c r="I3" s="1" t="s">
        <v>139</v>
      </c>
      <c r="J3" s="1" t="s">
        <v>140</v>
      </c>
      <c r="K3" s="1" t="s">
        <v>141</v>
      </c>
      <c r="L3" s="1" t="s">
        <v>142</v>
      </c>
      <c r="M3" s="1" t="s">
        <v>143</v>
      </c>
    </row>
    <row r="4">
      <c r="A4" s="1" t="s">
        <v>144</v>
      </c>
      <c r="B4" s="1" t="s">
        <v>145</v>
      </c>
      <c r="C4" s="1" t="s">
        <v>146</v>
      </c>
      <c r="D4" s="1" t="s">
        <v>111</v>
      </c>
      <c r="E4" s="1" t="s">
        <v>111</v>
      </c>
      <c r="F4" s="1" t="s">
        <v>147</v>
      </c>
      <c r="G4" s="1" t="s">
        <v>148</v>
      </c>
      <c r="H4" s="1" t="s">
        <v>149</v>
      </c>
      <c r="I4" s="1" t="s">
        <v>150</v>
      </c>
      <c r="J4" s="1" t="s">
        <v>151</v>
      </c>
      <c r="K4" s="1" t="s">
        <v>152</v>
      </c>
      <c r="L4" s="1" t="s">
        <v>153</v>
      </c>
      <c r="M4" s="1" t="s">
        <v>153</v>
      </c>
    </row>
    <row r="5">
      <c r="A5" s="1" t="s">
        <v>156</v>
      </c>
      <c r="G5" s="1" t="s">
        <v>157</v>
      </c>
      <c r="H5" s="1" t="s">
        <v>158</v>
      </c>
      <c r="I5" s="1" t="s">
        <v>159</v>
      </c>
      <c r="J5" s="1" t="s">
        <v>160</v>
      </c>
      <c r="K5" s="1" t="s">
        <v>161</v>
      </c>
      <c r="L5" s="1" t="s">
        <v>107</v>
      </c>
      <c r="M5" s="1" t="s">
        <v>162</v>
      </c>
    </row>
    <row r="6">
      <c r="G6" s="1" t="s">
        <v>163</v>
      </c>
      <c r="H6" s="1" t="s">
        <v>164</v>
      </c>
      <c r="I6" s="1" t="s">
        <v>165</v>
      </c>
      <c r="J6" s="1" t="s">
        <v>104</v>
      </c>
      <c r="K6" s="1" t="s">
        <v>167</v>
      </c>
    </row>
    <row r="7">
      <c r="G7" s="1" t="s">
        <v>168</v>
      </c>
      <c r="H7" s="1" t="s">
        <v>169</v>
      </c>
      <c r="I7" s="1" t="s">
        <v>170</v>
      </c>
      <c r="J7" s="1" t="s">
        <v>171</v>
      </c>
    </row>
    <row r="8">
      <c r="G8" s="1" t="s">
        <v>172</v>
      </c>
      <c r="H8" s="1" t="s">
        <v>160</v>
      </c>
      <c r="I8" s="1" t="s">
        <v>173</v>
      </c>
      <c r="J8" s="1" t="s">
        <v>174</v>
      </c>
    </row>
    <row r="9">
      <c r="H9" s="1" t="s">
        <v>175</v>
      </c>
      <c r="I9" s="1" t="s">
        <v>176</v>
      </c>
    </row>
    <row r="10">
      <c r="H10" s="1" t="s">
        <v>177</v>
      </c>
      <c r="I10" s="1" t="s">
        <v>178</v>
      </c>
    </row>
    <row r="11">
      <c r="H11" s="1" t="s">
        <v>179</v>
      </c>
      <c r="I11" s="1" t="s">
        <v>172</v>
      </c>
    </row>
    <row r="12">
      <c r="H12" s="1" t="s">
        <v>167</v>
      </c>
      <c r="I12" s="1" t="s">
        <v>180</v>
      </c>
    </row>
    <row r="13">
      <c r="I13" s="1" t="s">
        <v>181</v>
      </c>
    </row>
  </sheetData>
  <drawing r:id="rId1"/>
</worksheet>
</file>